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ownloads\"/>
    </mc:Choice>
  </mc:AlternateContent>
  <xr:revisionPtr revIDLastSave="0" documentId="13_ncr:1_{2031E340-70EC-451B-B963-46B6BDAE3355}" xr6:coauthVersionLast="47" xr6:coauthVersionMax="47" xr10:uidLastSave="{00000000-0000-0000-0000-000000000000}"/>
  <bookViews>
    <workbookView xWindow="-120" yWindow="-120" windowWidth="29040" windowHeight="15840" xr2:uid="{9D439C17-727A-40C9-82C4-69141E63DE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18" i="1"/>
  <c r="F23" i="1"/>
  <c r="F22" i="1"/>
  <c r="F21" i="1"/>
  <c r="F20" i="1"/>
  <c r="F17" i="1"/>
  <c r="F16" i="1"/>
  <c r="F15" i="1"/>
  <c r="F14" i="1"/>
  <c r="F13" i="1"/>
  <c r="F12" i="1"/>
  <c r="F5" i="1"/>
  <c r="F6" i="1"/>
  <c r="F7" i="1"/>
  <c r="F8" i="1"/>
  <c r="F9" i="1"/>
  <c r="F4" i="1"/>
  <c r="F10" i="1" l="1"/>
</calcChain>
</file>

<file path=xl/sharedStrings.xml><?xml version="1.0" encoding="utf-8"?>
<sst xmlns="http://schemas.openxmlformats.org/spreadsheetml/2006/main" count="55" uniqueCount="39">
  <si>
    <t>Category</t>
  </si>
  <si>
    <t>Component</t>
  </si>
  <si>
    <t>Weight</t>
  </si>
  <si>
    <t>Status / Progress</t>
  </si>
  <si>
    <t>Completion %</t>
  </si>
  <si>
    <r>
      <t xml:space="preserve">📄 </t>
    </r>
    <r>
      <rPr>
        <b/>
        <sz val="11"/>
        <color theme="1"/>
        <rFont val="Aptos Narrow"/>
        <family val="2"/>
        <scheme val="minor"/>
      </rPr>
      <t>Document</t>
    </r>
  </si>
  <si>
    <t>Chapter 1 – Introduction</t>
  </si>
  <si>
    <t>Completed</t>
  </si>
  <si>
    <t>Chapter 2 – RRL</t>
  </si>
  <si>
    <t>In Progress (50%)</t>
  </si>
  <si>
    <t>Chapter 3 – Methodology</t>
  </si>
  <si>
    <t>Not started</t>
  </si>
  <si>
    <t>Chapter 4 – Results &amp; Discussion</t>
  </si>
  <si>
    <t>Chapter 5 – Conclusion</t>
  </si>
  <si>
    <t>Other parts (abstract, etc.)</t>
  </si>
  <si>
    <t>Subtotal (Document)</t>
  </si>
  <si>
    <r>
      <t xml:space="preserve">🛠️ </t>
    </r>
    <r>
      <rPr>
        <b/>
        <sz val="11"/>
        <color theme="1"/>
        <rFont val="Aptos Narrow"/>
        <family val="2"/>
        <scheme val="minor"/>
      </rPr>
      <t>System Dev</t>
    </r>
  </si>
  <si>
    <t>UI/UX Design</t>
  </si>
  <si>
    <t>Front-End Development</t>
  </si>
  <si>
    <t>In Progress (30%)</t>
  </si>
  <si>
    <t>Back-End Development</t>
  </si>
  <si>
    <t>Testing &amp; Debugging</t>
  </si>
  <si>
    <t>Deployment &amp; Evaluation</t>
  </si>
  <si>
    <t>System Documentation</t>
  </si>
  <si>
    <t>Subtotal (System Dev)</t>
  </si>
  <si>
    <r>
      <t xml:space="preserve">🎯 </t>
    </r>
    <r>
      <rPr>
        <b/>
        <sz val="11"/>
        <color theme="1"/>
        <rFont val="Aptos Narrow"/>
        <family val="2"/>
        <scheme val="minor"/>
      </rPr>
      <t>Objectives</t>
    </r>
  </si>
  <si>
    <t>Objective 1</t>
  </si>
  <si>
    <t>Objective 2</t>
  </si>
  <si>
    <t>In Progress (40%)</t>
  </si>
  <si>
    <t>Objective 3</t>
  </si>
  <si>
    <t>Objective 4</t>
  </si>
  <si>
    <t>Subtotal (Objectives)</t>
  </si>
  <si>
    <t>In Progress (60%)</t>
  </si>
  <si>
    <t>In Progress (70%)</t>
  </si>
  <si>
    <t>In Progress (80%)</t>
  </si>
  <si>
    <t>In Progress (90%)</t>
  </si>
  <si>
    <t>In Progress (20%)</t>
  </si>
  <si>
    <t>In Progress (10%)</t>
  </si>
  <si>
    <t>Capstone Progress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</si>
</sst>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2503-FEFC-4F5F-A54B-3AD830581E03}">
  <dimension ref="A1:G28"/>
  <sheetViews>
    <sheetView tabSelected="1" zoomScale="160" zoomScaleNormal="160" workbookViewId="0">
      <selection activeCell="E7" sqref="E7"/>
    </sheetView>
  </sheetViews>
  <sheetFormatPr defaultRowHeight="15" x14ac:dyDescent="0.25"/>
  <cols>
    <col min="1" max="1" width="8" customWidth="1"/>
    <col min="2" max="2" width="15.28515625" bestFit="1" customWidth="1"/>
    <col min="3" max="3" width="30.140625" bestFit="1" customWidth="1"/>
    <col min="4" max="4" width="11.5703125" style="2" customWidth="1"/>
    <col min="5" max="5" width="16.42578125" bestFit="1" customWidth="1"/>
    <col min="6" max="6" width="14.140625" style="2" customWidth="1"/>
    <col min="7" max="7" width="8" customWidth="1"/>
    <col min="8" max="15" width="41.85546875" customWidth="1"/>
  </cols>
  <sheetData>
    <row r="1" spans="1:7" ht="21" x14ac:dyDescent="0.35">
      <c r="A1" s="11" t="s">
        <v>38</v>
      </c>
      <c r="B1" s="12"/>
      <c r="C1" s="12"/>
      <c r="D1" s="12"/>
      <c r="E1" s="12"/>
      <c r="F1" s="12"/>
      <c r="G1" s="13"/>
    </row>
    <row r="2" spans="1:7" x14ac:dyDescent="0.25">
      <c r="A2" s="14"/>
      <c r="B2" s="15"/>
      <c r="C2" s="15"/>
      <c r="D2" s="16"/>
      <c r="E2" s="15"/>
      <c r="F2" s="16"/>
      <c r="G2" s="17"/>
    </row>
    <row r="3" spans="1:7" x14ac:dyDescent="0.25">
      <c r="A3" s="14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17"/>
    </row>
    <row r="4" spans="1:7" x14ac:dyDescent="0.25">
      <c r="A4" s="14"/>
      <c r="B4" s="4" t="s">
        <v>5</v>
      </c>
      <c r="C4" s="4" t="s">
        <v>6</v>
      </c>
      <c r="D4" s="5">
        <v>0.15</v>
      </c>
      <c r="E4" s="26" t="s">
        <v>11</v>
      </c>
      <c r="F4" s="5">
        <f>VLOOKUP(E4,Sheet2!$F$2:$G$12,2,FALSE)*D4</f>
        <v>0</v>
      </c>
      <c r="G4" s="17"/>
    </row>
    <row r="5" spans="1:7" x14ac:dyDescent="0.25">
      <c r="A5" s="14"/>
      <c r="B5" s="4"/>
      <c r="C5" s="4" t="s">
        <v>8</v>
      </c>
      <c r="D5" s="5">
        <v>0.2</v>
      </c>
      <c r="E5" s="26" t="s">
        <v>11</v>
      </c>
      <c r="F5" s="5">
        <f>VLOOKUP(E5,Sheet2!$F$2:$G$12,2,FALSE)*D5</f>
        <v>0</v>
      </c>
      <c r="G5" s="17"/>
    </row>
    <row r="6" spans="1:7" x14ac:dyDescent="0.25">
      <c r="A6" s="14"/>
      <c r="B6" s="4"/>
      <c r="C6" s="4" t="s">
        <v>10</v>
      </c>
      <c r="D6" s="5">
        <v>0.15</v>
      </c>
      <c r="E6" s="26" t="s">
        <v>11</v>
      </c>
      <c r="F6" s="5">
        <f>VLOOKUP(E6,Sheet2!$F$2:$G$12,2,FALSE)*D6</f>
        <v>0</v>
      </c>
      <c r="G6" s="17"/>
    </row>
    <row r="7" spans="1:7" x14ac:dyDescent="0.25">
      <c r="A7" s="14"/>
      <c r="B7" s="4"/>
      <c r="C7" s="4" t="s">
        <v>12</v>
      </c>
      <c r="D7" s="5">
        <v>0.3</v>
      </c>
      <c r="E7" s="26" t="s">
        <v>11</v>
      </c>
      <c r="F7" s="5">
        <f>VLOOKUP(E7,Sheet2!$F$2:$G$12,2,FALSE)*D7</f>
        <v>0</v>
      </c>
      <c r="G7" s="17"/>
    </row>
    <row r="8" spans="1:7" x14ac:dyDescent="0.25">
      <c r="A8" s="14"/>
      <c r="B8" s="4"/>
      <c r="C8" s="4" t="s">
        <v>13</v>
      </c>
      <c r="D8" s="5">
        <v>0.1</v>
      </c>
      <c r="E8" s="26" t="s">
        <v>11</v>
      </c>
      <c r="F8" s="5">
        <f>VLOOKUP(E8,Sheet2!$F$2:$G$12,2,FALSE)*D8</f>
        <v>0</v>
      </c>
      <c r="G8" s="17"/>
    </row>
    <row r="9" spans="1:7" x14ac:dyDescent="0.25">
      <c r="A9" s="14"/>
      <c r="B9" s="4"/>
      <c r="C9" s="4" t="s">
        <v>14</v>
      </c>
      <c r="D9" s="5">
        <v>0.1</v>
      </c>
      <c r="E9" s="26" t="s">
        <v>11</v>
      </c>
      <c r="F9" s="5">
        <f>VLOOKUP(E9,Sheet2!$F$2:$G$12,2,FALSE)*D9</f>
        <v>0</v>
      </c>
      <c r="G9" s="17"/>
    </row>
    <row r="10" spans="1:7" s="10" customFormat="1" x14ac:dyDescent="0.25">
      <c r="A10" s="18"/>
      <c r="B10" s="6"/>
      <c r="C10" s="24" t="s">
        <v>15</v>
      </c>
      <c r="D10" s="25">
        <v>1</v>
      </c>
      <c r="E10" s="24"/>
      <c r="F10" s="25">
        <f>SUM(F4:F9)</f>
        <v>0</v>
      </c>
      <c r="G10" s="19"/>
    </row>
    <row r="11" spans="1:7" x14ac:dyDescent="0.25">
      <c r="A11" s="14"/>
      <c r="B11" s="4"/>
      <c r="C11" s="6"/>
      <c r="D11" s="7"/>
      <c r="E11" s="4"/>
      <c r="F11" s="7"/>
      <c r="G11" s="17"/>
    </row>
    <row r="12" spans="1:7" x14ac:dyDescent="0.25">
      <c r="A12" s="14"/>
      <c r="B12" s="4" t="s">
        <v>16</v>
      </c>
      <c r="C12" s="4" t="s">
        <v>17</v>
      </c>
      <c r="D12" s="5">
        <v>0.1</v>
      </c>
      <c r="E12" s="26" t="s">
        <v>11</v>
      </c>
      <c r="F12" s="5">
        <f>VLOOKUP(E12,Sheet2!$F$2:$G$12,2,FALSE)*D12</f>
        <v>0</v>
      </c>
      <c r="G12" s="17"/>
    </row>
    <row r="13" spans="1:7" x14ac:dyDescent="0.25">
      <c r="A13" s="14"/>
      <c r="B13" s="4"/>
      <c r="C13" s="4" t="s">
        <v>18</v>
      </c>
      <c r="D13" s="5">
        <v>0.2</v>
      </c>
      <c r="E13" s="26" t="s">
        <v>11</v>
      </c>
      <c r="F13" s="5">
        <f>VLOOKUP(E13,Sheet2!$F$2:$G$12,2,FALSE)*D13</f>
        <v>0</v>
      </c>
      <c r="G13" s="17"/>
    </row>
    <row r="14" spans="1:7" x14ac:dyDescent="0.25">
      <c r="A14" s="14"/>
      <c r="B14" s="4"/>
      <c r="C14" s="4" t="s">
        <v>20</v>
      </c>
      <c r="D14" s="5">
        <v>0.25</v>
      </c>
      <c r="E14" s="26" t="s">
        <v>11</v>
      </c>
      <c r="F14" s="5">
        <f>VLOOKUP(E14,Sheet2!$F$2:$G$12,2,FALSE)*D14</f>
        <v>0</v>
      </c>
      <c r="G14" s="17"/>
    </row>
    <row r="15" spans="1:7" x14ac:dyDescent="0.25">
      <c r="A15" s="14"/>
      <c r="B15" s="4"/>
      <c r="C15" s="4" t="s">
        <v>21</v>
      </c>
      <c r="D15" s="5">
        <v>0.15</v>
      </c>
      <c r="E15" s="26" t="s">
        <v>11</v>
      </c>
      <c r="F15" s="5">
        <f>VLOOKUP(E15,Sheet2!$F$2:$G$12,2,FALSE)*D15</f>
        <v>0</v>
      </c>
      <c r="G15" s="17"/>
    </row>
    <row r="16" spans="1:7" x14ac:dyDescent="0.25">
      <c r="A16" s="14"/>
      <c r="B16" s="4"/>
      <c r="C16" s="4" t="s">
        <v>22</v>
      </c>
      <c r="D16" s="5">
        <v>0.15</v>
      </c>
      <c r="E16" s="26" t="s">
        <v>11</v>
      </c>
      <c r="F16" s="5">
        <f>VLOOKUP(E16,Sheet2!$F$2:$G$12,2,FALSE)*D16</f>
        <v>0</v>
      </c>
      <c r="G16" s="17"/>
    </row>
    <row r="17" spans="1:7" x14ac:dyDescent="0.25">
      <c r="A17" s="14"/>
      <c r="B17" s="4"/>
      <c r="C17" s="4" t="s">
        <v>23</v>
      </c>
      <c r="D17" s="5">
        <v>0.15</v>
      </c>
      <c r="E17" s="26" t="s">
        <v>11</v>
      </c>
      <c r="F17" s="5">
        <f>VLOOKUP(E17,Sheet2!$F$2:$G$12,2,FALSE)*D17</f>
        <v>0</v>
      </c>
      <c r="G17" s="17"/>
    </row>
    <row r="18" spans="1:7" x14ac:dyDescent="0.25">
      <c r="A18" s="14"/>
      <c r="B18" s="4"/>
      <c r="C18" s="24" t="s">
        <v>24</v>
      </c>
      <c r="D18" s="25">
        <v>1</v>
      </c>
      <c r="E18" s="24"/>
      <c r="F18" s="25">
        <f>SUM(F12:F17)</f>
        <v>0</v>
      </c>
      <c r="G18" s="17"/>
    </row>
    <row r="19" spans="1:7" x14ac:dyDescent="0.25">
      <c r="A19" s="14"/>
      <c r="B19" s="4"/>
      <c r="C19" s="6"/>
      <c r="D19" s="7"/>
      <c r="E19" s="4"/>
      <c r="F19" s="7"/>
      <c r="G19" s="17"/>
    </row>
    <row r="20" spans="1:7" x14ac:dyDescent="0.25">
      <c r="A20" s="14"/>
      <c r="B20" s="4" t="s">
        <v>25</v>
      </c>
      <c r="C20" s="4" t="s">
        <v>26</v>
      </c>
      <c r="D20" s="5">
        <v>0.25</v>
      </c>
      <c r="E20" s="26" t="s">
        <v>11</v>
      </c>
      <c r="F20" s="5">
        <f>VLOOKUP(E20,Sheet2!$F$2:$G$12,2,FALSE)*D20</f>
        <v>0</v>
      </c>
      <c r="G20" s="17"/>
    </row>
    <row r="21" spans="1:7" x14ac:dyDescent="0.25">
      <c r="A21" s="14"/>
      <c r="B21" s="4"/>
      <c r="C21" s="4" t="s">
        <v>27</v>
      </c>
      <c r="D21" s="5">
        <v>0.3</v>
      </c>
      <c r="E21" s="26" t="s">
        <v>11</v>
      </c>
      <c r="F21" s="5">
        <f>VLOOKUP(E21,Sheet2!$F$2:$G$12,2,FALSE)*D21</f>
        <v>0</v>
      </c>
      <c r="G21" s="17"/>
    </row>
    <row r="22" spans="1:7" x14ac:dyDescent="0.25">
      <c r="A22" s="14"/>
      <c r="B22" s="4"/>
      <c r="C22" s="4" t="s">
        <v>29</v>
      </c>
      <c r="D22" s="5">
        <v>0.25</v>
      </c>
      <c r="E22" s="26" t="s">
        <v>11</v>
      </c>
      <c r="F22" s="5">
        <f>VLOOKUP(E22,Sheet2!$F$2:$G$12,2,FALSE)*D22</f>
        <v>0</v>
      </c>
      <c r="G22" s="17"/>
    </row>
    <row r="23" spans="1:7" x14ac:dyDescent="0.25">
      <c r="A23" s="14"/>
      <c r="B23" s="4"/>
      <c r="C23" s="4" t="s">
        <v>30</v>
      </c>
      <c r="D23" s="5">
        <v>0.2</v>
      </c>
      <c r="E23" s="26" t="s">
        <v>11</v>
      </c>
      <c r="F23" s="5">
        <f>VLOOKUP(E23,Sheet2!$F$2:$G$12,2,FALSE)*D23</f>
        <v>0</v>
      </c>
      <c r="G23" s="17"/>
    </row>
    <row r="24" spans="1:7" x14ac:dyDescent="0.25">
      <c r="A24" s="14"/>
      <c r="B24" s="4"/>
      <c r="C24" s="24" t="s">
        <v>31</v>
      </c>
      <c r="D24" s="25">
        <v>1</v>
      </c>
      <c r="E24" s="24"/>
      <c r="F24" s="25">
        <f>SUM(F20:F23)</f>
        <v>0</v>
      </c>
      <c r="G24" s="17"/>
    </row>
    <row r="25" spans="1:7" x14ac:dyDescent="0.25">
      <c r="A25" s="14"/>
      <c r="B25" s="8"/>
      <c r="C25" s="8"/>
      <c r="D25" s="9"/>
      <c r="E25" s="8"/>
      <c r="F25" s="9"/>
      <c r="G25" s="17"/>
    </row>
    <row r="26" spans="1:7" x14ac:dyDescent="0.25">
      <c r="A26" s="14"/>
      <c r="B26" s="8"/>
      <c r="C26" s="8"/>
      <c r="D26" s="9"/>
      <c r="E26" s="8"/>
      <c r="F26" s="9"/>
      <c r="G26" s="17"/>
    </row>
    <row r="27" spans="1:7" x14ac:dyDescent="0.25">
      <c r="A27" s="14"/>
      <c r="B27" s="8"/>
      <c r="C27" s="8"/>
      <c r="D27" s="9"/>
      <c r="E27" s="8"/>
      <c r="F27" s="9"/>
      <c r="G27" s="17"/>
    </row>
    <row r="28" spans="1:7" ht="15.75" thickBot="1" x14ac:dyDescent="0.3">
      <c r="A28" s="20"/>
      <c r="B28" s="21"/>
      <c r="C28" s="21"/>
      <c r="D28" s="22"/>
      <c r="E28" s="21"/>
      <c r="F28" s="22"/>
      <c r="G28" s="23"/>
    </row>
  </sheetData>
  <mergeCells count="1">
    <mergeCell ref="A1:G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1475DD-7D7C-47BC-809B-292FE420CB94}">
          <x14:formula1>
            <xm:f>Sheet2!$F$2:$F$12</xm:f>
          </x14:formula1>
          <xm:sqref>E20:E23 E12:E17 E4:E9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49F7-8730-4074-864E-2453885C62DC}">
  <dimension ref="F2:G15"/>
  <sheetViews>
    <sheetView workbookViewId="0">
      <selection activeCell="M16" sqref="M16"/>
    </sheetView>
  </sheetViews>
  <sheetFormatPr defaultRowHeight="15" x14ac:dyDescent="0.25"/>
  <cols>
    <col min="6" max="6" width="27.85546875" customWidth="1"/>
  </cols>
  <sheetData>
    <row r="2" spans="6:7" x14ac:dyDescent="0.25">
      <c r="F2" s="1" t="s">
        <v>11</v>
      </c>
      <c r="G2">
        <v>0</v>
      </c>
    </row>
    <row r="3" spans="6:7" x14ac:dyDescent="0.25">
      <c r="F3" s="1" t="s">
        <v>37</v>
      </c>
      <c r="G3">
        <v>0.1</v>
      </c>
    </row>
    <row r="4" spans="6:7" x14ac:dyDescent="0.25">
      <c r="F4" s="1" t="s">
        <v>36</v>
      </c>
      <c r="G4">
        <v>0.2</v>
      </c>
    </row>
    <row r="5" spans="6:7" x14ac:dyDescent="0.25">
      <c r="F5" s="1" t="s">
        <v>19</v>
      </c>
      <c r="G5">
        <v>0.3</v>
      </c>
    </row>
    <row r="6" spans="6:7" x14ac:dyDescent="0.25">
      <c r="F6" s="1" t="s">
        <v>28</v>
      </c>
      <c r="G6">
        <v>0.4</v>
      </c>
    </row>
    <row r="7" spans="6:7" x14ac:dyDescent="0.25">
      <c r="F7" s="1" t="s">
        <v>9</v>
      </c>
      <c r="G7">
        <v>0.5</v>
      </c>
    </row>
    <row r="8" spans="6:7" x14ac:dyDescent="0.25">
      <c r="F8" s="1" t="s">
        <v>32</v>
      </c>
      <c r="G8">
        <v>0.6</v>
      </c>
    </row>
    <row r="9" spans="6:7" x14ac:dyDescent="0.25">
      <c r="F9" s="1" t="s">
        <v>33</v>
      </c>
      <c r="G9">
        <v>0.7</v>
      </c>
    </row>
    <row r="10" spans="6:7" x14ac:dyDescent="0.25">
      <c r="F10" s="1" t="s">
        <v>34</v>
      </c>
      <c r="G10">
        <v>0.8</v>
      </c>
    </row>
    <row r="11" spans="6:7" x14ac:dyDescent="0.25">
      <c r="F11" s="1" t="s">
        <v>35</v>
      </c>
      <c r="G11">
        <v>0.9</v>
      </c>
    </row>
    <row r="12" spans="6:7" x14ac:dyDescent="0.25">
      <c r="F12" s="1" t="s">
        <v>7</v>
      </c>
      <c r="G12">
        <v>1</v>
      </c>
    </row>
    <row r="13" spans="6:7" x14ac:dyDescent="0.25">
      <c r="F13" s="1"/>
    </row>
    <row r="14" spans="6:7" x14ac:dyDescent="0.25">
      <c r="F14" s="1"/>
    </row>
    <row r="15" spans="6:7" x14ac:dyDescent="0.25"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mig</dc:creator>
  <cp:lastModifiedBy>san mig</cp:lastModifiedBy>
  <dcterms:created xsi:type="dcterms:W3CDTF">2025-05-28T21:54:29Z</dcterms:created>
  <dcterms:modified xsi:type="dcterms:W3CDTF">2025-05-28T22:06:59Z</dcterms:modified>
</cp:coreProperties>
</file>